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SZU\aging&amp;TFP&amp;labour\aging\IV\"/>
    </mc:Choice>
  </mc:AlternateContent>
  <bookViews>
    <workbookView windowWidth="25600" windowHeight="12080"/>
  </bookViews>
  <sheets>
    <sheet name="Sheet1" sheetId="1" r:id="rId1"/>
    <sheet name="原始数据" sheetId="2" r:id="rId2"/>
    <sheet name="来源说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<sst xmlns="http://schemas.openxmlformats.org/spreadsheetml/2006/main" count="230" uniqueCount="94">
  <si>
    <t>year</t>
  </si>
  <si>
    <t>0岁人口</t>
  </si>
  <si>
    <t>1-4岁人口(人)</t>
  </si>
  <si>
    <t>5-9岁人口(人)</t>
  </si>
  <si>
    <t>10-14岁人口(人)</t>
  </si>
  <si>
    <t>15-19岁人口(人)</t>
  </si>
  <si>
    <t>20-24岁人口(人)</t>
  </si>
  <si>
    <t>25-29岁人口(人)</t>
  </si>
  <si>
    <t>30-34岁人口(人)</t>
  </si>
  <si>
    <t>35-39岁人口(人)</t>
  </si>
  <si>
    <t>40-44岁人口(人)</t>
  </si>
  <si>
    <t>45-49岁人口(人)</t>
  </si>
  <si>
    <t>50-54岁人口(人)</t>
  </si>
  <si>
    <t>55-59岁人口(人)</t>
  </si>
  <si>
    <t>60-64岁人口(人)</t>
  </si>
  <si>
    <t>65-69岁人口(人)</t>
  </si>
  <si>
    <t>70-74岁人口(人)</t>
  </si>
  <si>
    <t>75-79岁人口(人)</t>
  </si>
  <si>
    <t>80-84岁人口(人)</t>
  </si>
  <si>
    <t>85岁及以上人口(人)</t>
  </si>
  <si>
    <t>年份</t>
  </si>
  <si>
    <t>原表年龄组</t>
  </si>
  <si>
    <t>合计（人）</t>
  </si>
  <si>
    <t>男（人）</t>
  </si>
  <si>
    <t>女（人）</t>
  </si>
  <si>
    <t>合计减男女（人）</t>
  </si>
  <si>
    <t>来源编号</t>
  </si>
  <si>
    <t>总计</t>
  </si>
  <si>
    <t>NBS-2000</t>
  </si>
  <si>
    <t>0-4岁</t>
  </si>
  <si>
    <t>5-9岁</t>
  </si>
  <si>
    <t>10-14岁</t>
  </si>
  <si>
    <t>15-19岁</t>
  </si>
  <si>
    <t>20-24岁</t>
  </si>
  <si>
    <t>25-29岁</t>
  </si>
  <si>
    <t>30-34岁</t>
  </si>
  <si>
    <t>35-39岁</t>
  </si>
  <si>
    <t>40-44岁</t>
  </si>
  <si>
    <t>45-49岁</t>
  </si>
  <si>
    <t>50-54岁</t>
  </si>
  <si>
    <t>55-59岁</t>
  </si>
  <si>
    <t>60-64岁</t>
  </si>
  <si>
    <t>65-69岁</t>
  </si>
  <si>
    <t>70-74岁</t>
  </si>
  <si>
    <t>75-79岁</t>
  </si>
  <si>
    <t>80-84岁</t>
  </si>
  <si>
    <t>85-89岁</t>
  </si>
  <si>
    <t>90-94岁</t>
  </si>
  <si>
    <t>95-99岁</t>
  </si>
  <si>
    <t>100岁及以上</t>
  </si>
  <si>
    <t>0</t>
  </si>
  <si>
    <t>1</t>
  </si>
  <si>
    <t>2</t>
  </si>
  <si>
    <t>3</t>
  </si>
  <si>
    <t>4</t>
  </si>
  <si>
    <t>NBS-2010</t>
  </si>
  <si>
    <t>NBS-2020</t>
  </si>
  <si>
    <t>官方资料与表号</t>
  </si>
  <si>
    <t>数据口径与处理</t>
  </si>
  <si>
    <t>原表链接</t>
  </si>
  <si>
    <t>说明链接</t>
  </si>
  <si>
    <t>中国2000年人口普查资料，第一部分全部数据，表3-1</t>
  </si>
  <si>
    <t>全国合计人口，单位人。保留原表总计1,242,612,226，不用公报总数重标年龄结构。</t>
  </si>
  <si>
    <t>https://www.stats.gov.cn/sj/pcsj/rkpc/5rp/html/t0301.htm</t>
  </si>
  <si>
    <t>https://www.stats.gov.cn/sj/pcsj/rkpc/5rp/left.htm</t>
  </si>
  <si>
    <t>中国2010年人口普查资料，第一部分全部数据，表3-1</t>
  </si>
  <si>
    <t>实际登记直接汇总；不含漏登人口、230万现役军人、465万难以确定常住地人口。</t>
  </si>
  <si>
    <t>https://www.stats.gov.cn/sj/pcsj/rkpc/6rp/html/A0301a.htm</t>
  </si>
  <si>
    <t>https://www.stats.gov.cn/sj/pcsj/rkpc/6rp/html/note.htm</t>
  </si>
  <si>
    <t>中国人口普查年鉴2020，第一部分全部数据，表3-1</t>
  </si>
  <si>
    <t>实际登记直接汇总；不含漏登人口和200万现役军人，未作误差校正。</t>
  </si>
  <si>
    <t>https://www.stats.gov.cn/sj/pcsj/rkpc/7rp/zk/html/A0301.jpg</t>
  </si>
  <si>
    <t>https://www.stats.gov.cn/sj/pcsj/rkpc/7rp/zk/html/note.htm</t>
  </si>
  <si>
    <t>整理日期</t>
  </si>
  <si>
    <t>2026-09-28</t>
  </si>
  <si>
    <t>三期使用全国合计栏，不是城市/镇/乡村分表，也不是10%长表样本。</t>
  </si>
  <si>
    <t>处理规则</t>
  </si>
  <si>
    <t>0岁、1—4岁、5—9岁至80—84岁、85+</t>
  </si>
  <si>
    <t>1—4岁为四个单岁人口求和；85+为85—89、90—94、95—99、100+求和。</t>
  </si>
  <si>
    <t>校验方法</t>
  </si>
  <si>
    <t>原表复核与加总</t>
  </si>
  <si>
    <t>三期各组男女之和等于合计；21个不重叠组汇总等于原表总计。2000/2010所有五岁组还与单岁加总逐组核对。</t>
  </si>
  <si>
    <t>2020提取</t>
  </si>
  <si>
    <t>从官方图片逐组转录</t>
  </si>
  <si>
    <t>合计、男、女三列均转录并核对。0—4岁额外保留五个单岁值，核对其总和。</t>
  </si>
  <si>
    <t>重复汇总提醒</t>
  </si>
  <si>
    <t>原始数据同时保留总计、年龄组、0—4岁单岁行</t>
  </si>
  <si>
    <t>这些行不能整体求和。Sheet1只选取不重叠分组；其第26行应全为0。</t>
  </si>
  <si>
    <t>用途边界</t>
  </si>
  <si>
    <t>全国年龄明细表口径</t>
  </si>
  <si>
    <t>三次普查登记与排除口径并非完全相同，尤其2010年难以确定常住地人口的处理；IV解释需保留此限制。</t>
  </si>
  <si>
    <t>代码对接</t>
  </si>
  <si>
    <t>run_iv_workbook.m</t>
  </si>
  <si>
    <t>将nationalFile指向total_national.xlsx，保持referenceScope="national"。本文件不替换现有total.xlsx。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</si>
</sst>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0"/>
      <color rgb="FFFFFFFF"/>
      <name val="Microsoft YaHei"/>
      <charset val="134"/>
    </font>
    <font>
      <sz val="10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</cellStyleXfs>
  <cellXfs count="5">
    <xf numFmtId="0" fontId="0" fillId="0" borderId="0" xfId="49"/>
    <xf numFmtId="0" fontId="1" fillId="2" borderId="0" xfId="49" applyNumberFormat="1" applyFont="1" applyFill="1" applyBorder="1" applyAlignment="1">
      <alignment vertical="center"/>
    </xf>
    <xf numFmtId="0" fontId="2" fillId="0" borderId="0" xfId="49" applyNumberFormat="1" applyFont="1" applyFill="1" applyBorder="1" applyAlignment="1">
      <alignment vertical="center" wrapText="1"/>
    </xf>
    <xf numFmtId="0" fontId="2" fillId="0" borderId="0" xfId="49" applyNumberFormat="1" applyFont="1" applyFill="1" applyBorder="1" applyAlignment="1">
      <alignment vertical="center"/>
    </xf>
    <xf numFmtId="3" fontId="2" fillId="0" borderId="0" xfId="49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showGridLines="0" tabSelected="1" workbookViewId="0">
      <pane ySplit="1" topLeftCell="A2" activePane="bottomLeft" state="frozen"/>
      <selection/>
      <selection pane="bottomLeft" activeCell="C7" sqref="C7"/>
    </sheetView>
  </sheetViews>
  <sheetFormatPr defaultColWidth="9" defaultRowHeight="14" outlineLevelCol="4"/>
  <cols>
    <col min="1" max="1" width="27" customWidth="1"/>
    <col min="2" max="4" width="19" customWidth="1"/>
    <col min="5" max="5" width="3" customWidth="1"/>
  </cols>
  <sheetData>
    <row r="1" ht="29" customHeight="1" spans="1:5">
      <c r="A1" s="1" t="s">
        <v>0</v>
      </c>
      <c r="B1" s="1">
        <v>2000</v>
      </c>
      <c r="C1" s="1">
        <v>2010</v>
      </c>
      <c r="D1" s="1">
        <v>2020</v>
      </c>
      <c r="E1" s="3"/>
    </row>
    <row r="2" ht="23" customHeight="1" spans="1:5">
      <c r="A2" s="3" t="s">
        <v>1</v>
      </c>
      <c r="B2" s="4">
        <v>13793799</v>
      </c>
      <c r="C2" s="4">
        <v>13786434</v>
      </c>
      <c r="D2" s="4">
        <v>11988057</v>
      </c>
      <c r="E2" s="3"/>
    </row>
    <row r="3" ht="23" customHeight="1" spans="1:5">
      <c r="A3" s="3" t="s">
        <v>2</v>
      </c>
      <c r="B3" s="4">
        <v>55184575</v>
      </c>
      <c r="C3" s="4">
        <v>61746176</v>
      </c>
      <c r="D3" s="4">
        <v>65895831</v>
      </c>
      <c r="E3" s="3"/>
    </row>
    <row r="4" ht="23" customHeight="1" spans="1:5">
      <c r="A4" s="3" t="s">
        <v>3</v>
      </c>
      <c r="B4" s="4">
        <v>90152587</v>
      </c>
      <c r="C4" s="4">
        <v>70881549</v>
      </c>
      <c r="D4" s="4">
        <v>90244056</v>
      </c>
      <c r="E4" s="3"/>
    </row>
    <row r="5" ht="23" customHeight="1" spans="1:5">
      <c r="A5" s="3" t="s">
        <v>4</v>
      </c>
      <c r="B5" s="4">
        <v>125396633</v>
      </c>
      <c r="C5" s="4">
        <v>74908462</v>
      </c>
      <c r="D5" s="4">
        <v>85255994</v>
      </c>
      <c r="E5" s="3"/>
    </row>
    <row r="6" ht="23" customHeight="1" spans="1:5">
      <c r="A6" s="3" t="s">
        <v>5</v>
      </c>
      <c r="B6" s="4">
        <v>103031165</v>
      </c>
      <c r="C6" s="4">
        <v>99889114</v>
      </c>
      <c r="D6" s="4">
        <v>72684140</v>
      </c>
      <c r="E6" s="3"/>
    </row>
    <row r="7" ht="23" customHeight="1" spans="1:5">
      <c r="A7" s="3" t="s">
        <v>6</v>
      </c>
      <c r="B7" s="4">
        <v>94573174</v>
      </c>
      <c r="C7" s="4">
        <v>127412518</v>
      </c>
      <c r="D7" s="4">
        <v>74941675</v>
      </c>
      <c r="E7" s="3"/>
    </row>
    <row r="8" ht="23" customHeight="1" spans="1:5">
      <c r="A8" s="3" t="s">
        <v>7</v>
      </c>
      <c r="B8" s="4">
        <v>117602265</v>
      </c>
      <c r="C8" s="4">
        <v>101013852</v>
      </c>
      <c r="D8" s="4">
        <v>91847332</v>
      </c>
      <c r="E8" s="3"/>
    </row>
    <row r="9" ht="23" customHeight="1" spans="1:5">
      <c r="A9" s="3" t="s">
        <v>8</v>
      </c>
      <c r="B9" s="4">
        <v>127314298</v>
      </c>
      <c r="C9" s="4">
        <v>97138203</v>
      </c>
      <c r="D9" s="4">
        <v>124145190</v>
      </c>
      <c r="E9" s="3"/>
    </row>
    <row r="10" ht="23" customHeight="1" spans="1:5">
      <c r="A10" s="3" t="s">
        <v>9</v>
      </c>
      <c r="B10" s="4">
        <v>109147295</v>
      </c>
      <c r="C10" s="4">
        <v>118025959</v>
      </c>
      <c r="D10" s="4">
        <v>99012932</v>
      </c>
      <c r="E10" s="3"/>
    </row>
    <row r="11" ht="23" customHeight="1" spans="1:5">
      <c r="A11" s="3" t="s">
        <v>10</v>
      </c>
      <c r="B11" s="4">
        <v>81242945</v>
      </c>
      <c r="C11" s="4">
        <v>124753964</v>
      </c>
      <c r="D11" s="4">
        <v>92955330</v>
      </c>
      <c r="E11" s="3"/>
    </row>
    <row r="12" ht="23" customHeight="1" spans="1:5">
      <c r="A12" s="3" t="s">
        <v>11</v>
      </c>
      <c r="B12" s="4">
        <v>85521045</v>
      </c>
      <c r="C12" s="4">
        <v>105594553</v>
      </c>
      <c r="D12" s="4">
        <v>114224887</v>
      </c>
      <c r="E12" s="3"/>
    </row>
    <row r="13" ht="23" customHeight="1" spans="1:5">
      <c r="A13" s="3" t="s">
        <v>12</v>
      </c>
      <c r="B13" s="4">
        <v>63304200</v>
      </c>
      <c r="C13" s="4">
        <v>78753171</v>
      </c>
      <c r="D13" s="4">
        <v>121164296</v>
      </c>
      <c r="E13" s="3"/>
    </row>
    <row r="14" ht="23" customHeight="1" spans="1:5">
      <c r="A14" s="3" t="s">
        <v>13</v>
      </c>
      <c r="B14" s="4">
        <v>46370375</v>
      </c>
      <c r="C14" s="4">
        <v>81312474</v>
      </c>
      <c r="D14" s="4">
        <v>101400786</v>
      </c>
      <c r="E14" s="3"/>
    </row>
    <row r="15" ht="23" customHeight="1" spans="1:5">
      <c r="A15" s="3" t="s">
        <v>14</v>
      </c>
      <c r="B15" s="4">
        <v>41703848</v>
      </c>
      <c r="C15" s="4">
        <v>58667282</v>
      </c>
      <c r="D15" s="4">
        <v>73382938</v>
      </c>
      <c r="E15" s="3"/>
    </row>
    <row r="16" ht="23" customHeight="1" spans="1:5">
      <c r="A16" s="3" t="s">
        <v>15</v>
      </c>
      <c r="B16" s="4">
        <v>34780460</v>
      </c>
      <c r="C16" s="4">
        <v>41113282</v>
      </c>
      <c r="D16" s="4">
        <v>74005560</v>
      </c>
      <c r="E16" s="3"/>
    </row>
    <row r="17" ht="23" customHeight="1" spans="1:5">
      <c r="A17" s="3" t="s">
        <v>16</v>
      </c>
      <c r="B17" s="4">
        <v>25574149</v>
      </c>
      <c r="C17" s="4">
        <v>32972397</v>
      </c>
      <c r="D17" s="4">
        <v>49590036</v>
      </c>
      <c r="E17" s="3"/>
    </row>
    <row r="18" ht="23" customHeight="1" spans="1:5">
      <c r="A18" s="3" t="s">
        <v>17</v>
      </c>
      <c r="B18" s="4">
        <v>15928330</v>
      </c>
      <c r="C18" s="4">
        <v>23852133</v>
      </c>
      <c r="D18" s="4">
        <v>31238849</v>
      </c>
      <c r="E18" s="3"/>
    </row>
    <row r="19" ht="23" customHeight="1" spans="1:5">
      <c r="A19" s="3" t="s">
        <v>18</v>
      </c>
      <c r="B19" s="4">
        <v>7989158</v>
      </c>
      <c r="C19" s="4">
        <v>13373198</v>
      </c>
      <c r="D19" s="4">
        <v>20382878</v>
      </c>
      <c r="E19" s="3"/>
    </row>
    <row r="20" ht="23" customHeight="1" spans="1:5">
      <c r="A20" s="3" t="s">
        <v>19</v>
      </c>
      <c r="B20" s="4">
        <v>4001925</v>
      </c>
      <c r="C20" s="4">
        <v>7616148</v>
      </c>
      <c r="D20" s="4">
        <v>15417957</v>
      </c>
      <c r="E20" s="3"/>
    </row>
    <row r="21" ht="23" customHeight="1" spans="1:5">
      <c r="A21" s="3"/>
      <c r="B21" s="4"/>
      <c r="C21" s="4"/>
      <c r="D21" s="4"/>
      <c r="E21" s="3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2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Col="6"/>
  <cols>
    <col min="1" max="1" width="10" customWidth="1"/>
    <col min="2" max="2" width="16" customWidth="1"/>
    <col min="3" max="5" width="20" customWidth="1"/>
    <col min="6" max="6" width="25" customWidth="1"/>
    <col min="7" max="7" width="17" customWidth="1"/>
  </cols>
  <sheetData>
    <row r="1" ht="29" customHeight="1" spans="1:7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ht="23" customHeight="1" spans="1:7">
      <c r="A2" s="3">
        <v>2000</v>
      </c>
      <c r="B2" s="3" t="s">
        <v>27</v>
      </c>
      <c r="C2" s="4">
        <v>1242612226</v>
      </c>
      <c r="D2" s="4">
        <v>640275969</v>
      </c>
      <c r="E2" s="4">
        <v>602336257</v>
      </c>
      <c r="F2" s="4">
        <f t="shared" ref="F2:F65" si="0">C2-D2-E2</f>
        <v>0</v>
      </c>
      <c r="G2" s="3" t="s">
        <v>28</v>
      </c>
    </row>
    <row r="3" ht="23" customHeight="1" spans="1:7">
      <c r="A3" s="3">
        <v>2000</v>
      </c>
      <c r="B3" s="3" t="s">
        <v>29</v>
      </c>
      <c r="C3" s="4">
        <v>68978374</v>
      </c>
      <c r="D3" s="4">
        <v>37648694</v>
      </c>
      <c r="E3" s="4">
        <v>31329680</v>
      </c>
      <c r="F3" s="4">
        <f t="shared" si="0"/>
        <v>0</v>
      </c>
      <c r="G3" s="3" t="s">
        <v>28</v>
      </c>
    </row>
    <row r="4" ht="23" customHeight="1" spans="1:7">
      <c r="A4" s="3">
        <v>2000</v>
      </c>
      <c r="B4" s="3" t="s">
        <v>30</v>
      </c>
      <c r="C4" s="4">
        <v>90152587</v>
      </c>
      <c r="D4" s="4">
        <v>48303208</v>
      </c>
      <c r="E4" s="4">
        <v>41849379</v>
      </c>
      <c r="F4" s="4">
        <f t="shared" si="0"/>
        <v>0</v>
      </c>
      <c r="G4" s="3" t="s">
        <v>28</v>
      </c>
    </row>
    <row r="5" ht="23" customHeight="1" spans="1:7">
      <c r="A5" s="3">
        <v>2000</v>
      </c>
      <c r="B5" s="3" t="s">
        <v>31</v>
      </c>
      <c r="C5" s="4">
        <v>125396633</v>
      </c>
      <c r="D5" s="4">
        <v>65344739</v>
      </c>
      <c r="E5" s="4">
        <v>60051894</v>
      </c>
      <c r="F5" s="4">
        <f t="shared" si="0"/>
        <v>0</v>
      </c>
      <c r="G5" s="3" t="s">
        <v>28</v>
      </c>
    </row>
    <row r="6" ht="23" customHeight="1" spans="1:7">
      <c r="A6" s="3">
        <v>2000</v>
      </c>
      <c r="B6" s="3" t="s">
        <v>32</v>
      </c>
      <c r="C6" s="4">
        <v>103031165</v>
      </c>
      <c r="D6" s="4">
        <v>52878170</v>
      </c>
      <c r="E6" s="4">
        <v>50152995</v>
      </c>
      <c r="F6" s="4">
        <f t="shared" si="0"/>
        <v>0</v>
      </c>
      <c r="G6" s="3" t="s">
        <v>28</v>
      </c>
    </row>
    <row r="7" ht="23" customHeight="1" spans="1:7">
      <c r="A7" s="3">
        <v>2000</v>
      </c>
      <c r="B7" s="3" t="s">
        <v>33</v>
      </c>
      <c r="C7" s="4">
        <v>94573174</v>
      </c>
      <c r="D7" s="4">
        <v>47937766</v>
      </c>
      <c r="E7" s="4">
        <v>46635408</v>
      </c>
      <c r="F7" s="4">
        <f t="shared" si="0"/>
        <v>0</v>
      </c>
      <c r="G7" s="3" t="s">
        <v>28</v>
      </c>
    </row>
    <row r="8" ht="23" customHeight="1" spans="1:7">
      <c r="A8" s="3">
        <v>2000</v>
      </c>
      <c r="B8" s="3" t="s">
        <v>34</v>
      </c>
      <c r="C8" s="4">
        <v>117602265</v>
      </c>
      <c r="D8" s="4">
        <v>60230758</v>
      </c>
      <c r="E8" s="4">
        <v>57371507</v>
      </c>
      <c r="F8" s="4">
        <f t="shared" si="0"/>
        <v>0</v>
      </c>
      <c r="G8" s="3" t="s">
        <v>28</v>
      </c>
    </row>
    <row r="9" ht="23" customHeight="1" spans="1:7">
      <c r="A9" s="3">
        <v>2000</v>
      </c>
      <c r="B9" s="3" t="s">
        <v>35</v>
      </c>
      <c r="C9" s="4">
        <v>127314298</v>
      </c>
      <c r="D9" s="4">
        <v>65360456</v>
      </c>
      <c r="E9" s="4">
        <v>61953842</v>
      </c>
      <c r="F9" s="4">
        <f t="shared" si="0"/>
        <v>0</v>
      </c>
      <c r="G9" s="3" t="s">
        <v>28</v>
      </c>
    </row>
    <row r="10" ht="23" customHeight="1" spans="1:7">
      <c r="A10" s="3">
        <v>2000</v>
      </c>
      <c r="B10" s="3" t="s">
        <v>36</v>
      </c>
      <c r="C10" s="4">
        <v>109147295</v>
      </c>
      <c r="D10" s="4">
        <v>56141391</v>
      </c>
      <c r="E10" s="4">
        <v>53005904</v>
      </c>
      <c r="F10" s="4">
        <f t="shared" si="0"/>
        <v>0</v>
      </c>
      <c r="G10" s="3" t="s">
        <v>28</v>
      </c>
    </row>
    <row r="11" ht="23" customHeight="1" spans="1:7">
      <c r="A11" s="3">
        <v>2000</v>
      </c>
      <c r="B11" s="3" t="s">
        <v>37</v>
      </c>
      <c r="C11" s="4">
        <v>81242945</v>
      </c>
      <c r="D11" s="4">
        <v>42243187</v>
      </c>
      <c r="E11" s="4">
        <v>38999758</v>
      </c>
      <c r="F11" s="4">
        <f t="shared" si="0"/>
        <v>0</v>
      </c>
      <c r="G11" s="3" t="s">
        <v>28</v>
      </c>
    </row>
    <row r="12" ht="23" customHeight="1" spans="1:7">
      <c r="A12" s="3">
        <v>2000</v>
      </c>
      <c r="B12" s="3" t="s">
        <v>38</v>
      </c>
      <c r="C12" s="4">
        <v>85521045</v>
      </c>
      <c r="D12" s="4">
        <v>43939603</v>
      </c>
      <c r="E12" s="4">
        <v>41581442</v>
      </c>
      <c r="F12" s="4">
        <f t="shared" si="0"/>
        <v>0</v>
      </c>
      <c r="G12" s="3" t="s">
        <v>28</v>
      </c>
    </row>
    <row r="13" ht="23" customHeight="1" spans="1:7">
      <c r="A13" s="3">
        <v>2000</v>
      </c>
      <c r="B13" s="3" t="s">
        <v>39</v>
      </c>
      <c r="C13" s="4">
        <v>63304200</v>
      </c>
      <c r="D13" s="4">
        <v>32804125</v>
      </c>
      <c r="E13" s="4">
        <v>30500075</v>
      </c>
      <c r="F13" s="4">
        <f t="shared" si="0"/>
        <v>0</v>
      </c>
      <c r="G13" s="3" t="s">
        <v>28</v>
      </c>
    </row>
    <row r="14" ht="23" customHeight="1" spans="1:7">
      <c r="A14" s="3">
        <v>2000</v>
      </c>
      <c r="B14" s="3" t="s">
        <v>40</v>
      </c>
      <c r="C14" s="4">
        <v>46370375</v>
      </c>
      <c r="D14" s="4">
        <v>24061506</v>
      </c>
      <c r="E14" s="4">
        <v>22308869</v>
      </c>
      <c r="F14" s="4">
        <f t="shared" si="0"/>
        <v>0</v>
      </c>
      <c r="G14" s="3" t="s">
        <v>28</v>
      </c>
    </row>
    <row r="15" ht="23" customHeight="1" spans="1:7">
      <c r="A15" s="3">
        <v>2000</v>
      </c>
      <c r="B15" s="3" t="s">
        <v>41</v>
      </c>
      <c r="C15" s="4">
        <v>41703848</v>
      </c>
      <c r="D15" s="4">
        <v>21674478</v>
      </c>
      <c r="E15" s="4">
        <v>20029370</v>
      </c>
      <c r="F15" s="4">
        <f t="shared" si="0"/>
        <v>0</v>
      </c>
      <c r="G15" s="3" t="s">
        <v>28</v>
      </c>
    </row>
    <row r="16" ht="23" customHeight="1" spans="1:7">
      <c r="A16" s="3">
        <v>2000</v>
      </c>
      <c r="B16" s="3" t="s">
        <v>42</v>
      </c>
      <c r="C16" s="4">
        <v>34780460</v>
      </c>
      <c r="D16" s="4">
        <v>17549348</v>
      </c>
      <c r="E16" s="4">
        <v>17231112</v>
      </c>
      <c r="F16" s="4">
        <f t="shared" si="0"/>
        <v>0</v>
      </c>
      <c r="G16" s="3" t="s">
        <v>28</v>
      </c>
    </row>
    <row r="17" ht="23" customHeight="1" spans="1:7">
      <c r="A17" s="3">
        <v>2000</v>
      </c>
      <c r="B17" s="3" t="s">
        <v>43</v>
      </c>
      <c r="C17" s="4">
        <v>25574149</v>
      </c>
      <c r="D17" s="4">
        <v>12436154</v>
      </c>
      <c r="E17" s="4">
        <v>13137995</v>
      </c>
      <c r="F17" s="4">
        <f t="shared" si="0"/>
        <v>0</v>
      </c>
      <c r="G17" s="3" t="s">
        <v>28</v>
      </c>
    </row>
    <row r="18" ht="23" customHeight="1" spans="1:7">
      <c r="A18" s="3">
        <v>2000</v>
      </c>
      <c r="B18" s="3" t="s">
        <v>44</v>
      </c>
      <c r="C18" s="4">
        <v>15928330</v>
      </c>
      <c r="D18" s="4">
        <v>7175811</v>
      </c>
      <c r="E18" s="4">
        <v>8752519</v>
      </c>
      <c r="F18" s="4">
        <f t="shared" si="0"/>
        <v>0</v>
      </c>
      <c r="G18" s="3" t="s">
        <v>28</v>
      </c>
    </row>
    <row r="19" ht="23" customHeight="1" spans="1:7">
      <c r="A19" s="3">
        <v>2000</v>
      </c>
      <c r="B19" s="3" t="s">
        <v>45</v>
      </c>
      <c r="C19" s="4">
        <v>7989158</v>
      </c>
      <c r="D19" s="4">
        <v>3203868</v>
      </c>
      <c r="E19" s="4">
        <v>4785290</v>
      </c>
      <c r="F19" s="4">
        <f t="shared" si="0"/>
        <v>0</v>
      </c>
      <c r="G19" s="3" t="s">
        <v>28</v>
      </c>
    </row>
    <row r="20" ht="23" customHeight="1" spans="1:7">
      <c r="A20" s="3">
        <v>2000</v>
      </c>
      <c r="B20" s="3" t="s">
        <v>46</v>
      </c>
      <c r="C20" s="4">
        <v>3030698</v>
      </c>
      <c r="D20" s="4">
        <v>1056941</v>
      </c>
      <c r="E20" s="4">
        <v>1973757</v>
      </c>
      <c r="F20" s="4">
        <f t="shared" si="0"/>
        <v>0</v>
      </c>
      <c r="G20" s="3" t="s">
        <v>28</v>
      </c>
    </row>
    <row r="21" ht="23" customHeight="1" spans="1:7">
      <c r="A21" s="3">
        <v>2000</v>
      </c>
      <c r="B21" s="3" t="s">
        <v>47</v>
      </c>
      <c r="C21" s="4">
        <v>783594</v>
      </c>
      <c r="D21" s="4">
        <v>229758</v>
      </c>
      <c r="E21" s="4">
        <v>553836</v>
      </c>
      <c r="F21" s="4">
        <f t="shared" si="0"/>
        <v>0</v>
      </c>
      <c r="G21" s="3" t="s">
        <v>28</v>
      </c>
    </row>
    <row r="22" ht="23" customHeight="1" spans="1:7">
      <c r="A22" s="3">
        <v>2000</v>
      </c>
      <c r="B22" s="3" t="s">
        <v>48</v>
      </c>
      <c r="C22" s="4">
        <v>169756</v>
      </c>
      <c r="D22" s="4">
        <v>51373</v>
      </c>
      <c r="E22" s="4">
        <v>118383</v>
      </c>
      <c r="F22" s="4">
        <f t="shared" si="0"/>
        <v>0</v>
      </c>
      <c r="G22" s="3" t="s">
        <v>28</v>
      </c>
    </row>
    <row r="23" ht="23" customHeight="1" spans="1:7">
      <c r="A23" s="3">
        <v>2000</v>
      </c>
      <c r="B23" s="3" t="s">
        <v>49</v>
      </c>
      <c r="C23" s="4">
        <v>17877</v>
      </c>
      <c r="D23" s="4">
        <v>4635</v>
      </c>
      <c r="E23" s="4">
        <v>13242</v>
      </c>
      <c r="F23" s="4">
        <f t="shared" si="0"/>
        <v>0</v>
      </c>
      <c r="G23" s="3" t="s">
        <v>28</v>
      </c>
    </row>
    <row r="24" ht="23" customHeight="1" spans="1:7">
      <c r="A24" s="3">
        <v>2000</v>
      </c>
      <c r="B24" s="3" t="s">
        <v>50</v>
      </c>
      <c r="C24" s="4">
        <v>13793799</v>
      </c>
      <c r="D24" s="4">
        <v>7460206</v>
      </c>
      <c r="E24" s="4">
        <v>6333593</v>
      </c>
      <c r="F24" s="4">
        <f t="shared" si="0"/>
        <v>0</v>
      </c>
      <c r="G24" s="3" t="s">
        <v>28</v>
      </c>
    </row>
    <row r="25" ht="23" customHeight="1" spans="1:7">
      <c r="A25" s="3">
        <v>2000</v>
      </c>
      <c r="B25" s="3" t="s">
        <v>51</v>
      </c>
      <c r="C25" s="4">
        <v>11495247</v>
      </c>
      <c r="D25" s="4">
        <v>6332425</v>
      </c>
      <c r="E25" s="4">
        <v>5162822</v>
      </c>
      <c r="F25" s="4">
        <f t="shared" si="0"/>
        <v>0</v>
      </c>
      <c r="G25" s="3" t="s">
        <v>28</v>
      </c>
    </row>
    <row r="26" ht="23" customHeight="1" spans="1:7">
      <c r="A26" s="3">
        <v>2000</v>
      </c>
      <c r="B26" s="3" t="s">
        <v>52</v>
      </c>
      <c r="C26" s="4">
        <v>14010711</v>
      </c>
      <c r="D26" s="4">
        <v>7701684</v>
      </c>
      <c r="E26" s="4">
        <v>6309027</v>
      </c>
      <c r="F26" s="4">
        <f t="shared" si="0"/>
        <v>0</v>
      </c>
      <c r="G26" s="3" t="s">
        <v>28</v>
      </c>
    </row>
    <row r="27" ht="23" customHeight="1" spans="1:7">
      <c r="A27" s="3">
        <v>2000</v>
      </c>
      <c r="B27" s="3" t="s">
        <v>53</v>
      </c>
      <c r="C27" s="4">
        <v>14454335</v>
      </c>
      <c r="D27" s="4">
        <v>7897234</v>
      </c>
      <c r="E27" s="4">
        <v>6557101</v>
      </c>
      <c r="F27" s="4">
        <f t="shared" si="0"/>
        <v>0</v>
      </c>
      <c r="G27" s="3" t="s">
        <v>28</v>
      </c>
    </row>
    <row r="28" ht="23" customHeight="1" spans="1:7">
      <c r="A28" s="3">
        <v>2000</v>
      </c>
      <c r="B28" s="3" t="s">
        <v>54</v>
      </c>
      <c r="C28" s="4">
        <v>15224282</v>
      </c>
      <c r="D28" s="4">
        <v>8257145</v>
      </c>
      <c r="E28" s="4">
        <v>6967137</v>
      </c>
      <c r="F28" s="4">
        <f t="shared" si="0"/>
        <v>0</v>
      </c>
      <c r="G28" s="3" t="s">
        <v>28</v>
      </c>
    </row>
    <row r="29" ht="23" customHeight="1" spans="1:7">
      <c r="A29" s="3">
        <v>2010</v>
      </c>
      <c r="B29" s="3" t="s">
        <v>27</v>
      </c>
      <c r="C29" s="4">
        <v>1332810869</v>
      </c>
      <c r="D29" s="4">
        <v>682329104</v>
      </c>
      <c r="E29" s="4">
        <v>650481765</v>
      </c>
      <c r="F29" s="4">
        <f t="shared" si="0"/>
        <v>0</v>
      </c>
      <c r="G29" s="3" t="s">
        <v>55</v>
      </c>
    </row>
    <row r="30" ht="23" customHeight="1" spans="1:7">
      <c r="A30" s="3">
        <v>2010</v>
      </c>
      <c r="B30" s="3" t="s">
        <v>29</v>
      </c>
      <c r="C30" s="4">
        <v>75532610</v>
      </c>
      <c r="D30" s="4">
        <v>41062566</v>
      </c>
      <c r="E30" s="4">
        <v>34470044</v>
      </c>
      <c r="F30" s="4">
        <f t="shared" si="0"/>
        <v>0</v>
      </c>
      <c r="G30" s="3" t="s">
        <v>55</v>
      </c>
    </row>
    <row r="31" ht="23" customHeight="1" spans="1:7">
      <c r="A31" s="3">
        <v>2010</v>
      </c>
      <c r="B31" s="3" t="s">
        <v>30</v>
      </c>
      <c r="C31" s="4">
        <v>70881549</v>
      </c>
      <c r="D31" s="4">
        <v>38464665</v>
      </c>
      <c r="E31" s="4">
        <v>32416884</v>
      </c>
      <c r="F31" s="4">
        <f t="shared" si="0"/>
        <v>0</v>
      </c>
      <c r="G31" s="3" t="s">
        <v>55</v>
      </c>
    </row>
    <row r="32" ht="23" customHeight="1" spans="1:7">
      <c r="A32" s="3">
        <v>2010</v>
      </c>
      <c r="B32" s="3" t="s">
        <v>31</v>
      </c>
      <c r="C32" s="4">
        <v>74908462</v>
      </c>
      <c r="D32" s="4">
        <v>40267277</v>
      </c>
      <c r="E32" s="4">
        <v>34641185</v>
      </c>
      <c r="F32" s="4">
        <f t="shared" si="0"/>
        <v>0</v>
      </c>
      <c r="G32" s="3" t="s">
        <v>55</v>
      </c>
    </row>
    <row r="33" ht="23" customHeight="1" spans="1:7">
      <c r="A33" s="3">
        <v>2010</v>
      </c>
      <c r="B33" s="3" t="s">
        <v>32</v>
      </c>
      <c r="C33" s="4">
        <v>99889114</v>
      </c>
      <c r="D33" s="4">
        <v>51904830</v>
      </c>
      <c r="E33" s="4">
        <v>47984284</v>
      </c>
      <c r="F33" s="4">
        <f t="shared" si="0"/>
        <v>0</v>
      </c>
      <c r="G33" s="3" t="s">
        <v>55</v>
      </c>
    </row>
    <row r="34" ht="23" customHeight="1" spans="1:7">
      <c r="A34" s="3">
        <v>2010</v>
      </c>
      <c r="B34" s="3" t="s">
        <v>33</v>
      </c>
      <c r="C34" s="4">
        <v>127412518</v>
      </c>
      <c r="D34" s="4">
        <v>64008573</v>
      </c>
      <c r="E34" s="4">
        <v>63403945</v>
      </c>
      <c r="F34" s="4">
        <f t="shared" si="0"/>
        <v>0</v>
      </c>
      <c r="G34" s="3" t="s">
        <v>55</v>
      </c>
    </row>
    <row r="35" ht="23" customHeight="1" spans="1:7">
      <c r="A35" s="3">
        <v>2010</v>
      </c>
      <c r="B35" s="3" t="s">
        <v>34</v>
      </c>
      <c r="C35" s="4">
        <v>101013852</v>
      </c>
      <c r="D35" s="4">
        <v>50837038</v>
      </c>
      <c r="E35" s="4">
        <v>50176814</v>
      </c>
      <c r="F35" s="4">
        <f t="shared" si="0"/>
        <v>0</v>
      </c>
      <c r="G35" s="3" t="s">
        <v>55</v>
      </c>
    </row>
    <row r="36" ht="23" customHeight="1" spans="1:7">
      <c r="A36" s="3">
        <v>2010</v>
      </c>
      <c r="B36" s="3" t="s">
        <v>35</v>
      </c>
      <c r="C36" s="4">
        <v>97138203</v>
      </c>
      <c r="D36" s="4">
        <v>49521822</v>
      </c>
      <c r="E36" s="4">
        <v>47616381</v>
      </c>
      <c r="F36" s="4">
        <f t="shared" si="0"/>
        <v>0</v>
      </c>
      <c r="G36" s="3" t="s">
        <v>55</v>
      </c>
    </row>
    <row r="37" ht="23" customHeight="1" spans="1:7">
      <c r="A37" s="3">
        <v>2010</v>
      </c>
      <c r="B37" s="3" t="s">
        <v>36</v>
      </c>
      <c r="C37" s="4">
        <v>118025959</v>
      </c>
      <c r="D37" s="4">
        <v>60391104</v>
      </c>
      <c r="E37" s="4">
        <v>57634855</v>
      </c>
      <c r="F37" s="4">
        <f t="shared" si="0"/>
        <v>0</v>
      </c>
      <c r="G37" s="3" t="s">
        <v>55</v>
      </c>
    </row>
    <row r="38" ht="23" customHeight="1" spans="1:7">
      <c r="A38" s="3">
        <v>2010</v>
      </c>
      <c r="B38" s="3" t="s">
        <v>37</v>
      </c>
      <c r="C38" s="4">
        <v>124753964</v>
      </c>
      <c r="D38" s="4">
        <v>63608678</v>
      </c>
      <c r="E38" s="4">
        <v>61145286</v>
      </c>
      <c r="F38" s="4">
        <f t="shared" si="0"/>
        <v>0</v>
      </c>
      <c r="G38" s="3" t="s">
        <v>55</v>
      </c>
    </row>
    <row r="39" ht="23" customHeight="1" spans="1:7">
      <c r="A39" s="3">
        <v>2010</v>
      </c>
      <c r="B39" s="3" t="s">
        <v>38</v>
      </c>
      <c r="C39" s="4">
        <v>105594553</v>
      </c>
      <c r="D39" s="4">
        <v>53776418</v>
      </c>
      <c r="E39" s="4">
        <v>51818135</v>
      </c>
      <c r="F39" s="4">
        <f t="shared" si="0"/>
        <v>0</v>
      </c>
      <c r="G39" s="3" t="s">
        <v>55</v>
      </c>
    </row>
    <row r="40" ht="23" customHeight="1" spans="1:7">
      <c r="A40" s="3">
        <v>2010</v>
      </c>
      <c r="B40" s="3" t="s">
        <v>39</v>
      </c>
      <c r="C40" s="4">
        <v>78753171</v>
      </c>
      <c r="D40" s="4">
        <v>40363234</v>
      </c>
      <c r="E40" s="4">
        <v>38389937</v>
      </c>
      <c r="F40" s="4">
        <f t="shared" si="0"/>
        <v>0</v>
      </c>
      <c r="G40" s="3" t="s">
        <v>55</v>
      </c>
    </row>
    <row r="41" ht="23" customHeight="1" spans="1:7">
      <c r="A41" s="3">
        <v>2010</v>
      </c>
      <c r="B41" s="3" t="s">
        <v>40</v>
      </c>
      <c r="C41" s="4">
        <v>81312474</v>
      </c>
      <c r="D41" s="4">
        <v>41082938</v>
      </c>
      <c r="E41" s="4">
        <v>40229536</v>
      </c>
      <c r="F41" s="4">
        <f t="shared" si="0"/>
        <v>0</v>
      </c>
      <c r="G41" s="3" t="s">
        <v>55</v>
      </c>
    </row>
    <row r="42" ht="23" customHeight="1" spans="1:7">
      <c r="A42" s="3">
        <v>2010</v>
      </c>
      <c r="B42" s="3" t="s">
        <v>41</v>
      </c>
      <c r="C42" s="4">
        <v>58667282</v>
      </c>
      <c r="D42" s="4">
        <v>29834426</v>
      </c>
      <c r="E42" s="4">
        <v>28832856</v>
      </c>
      <c r="F42" s="4">
        <f t="shared" si="0"/>
        <v>0</v>
      </c>
      <c r="G42" s="3" t="s">
        <v>55</v>
      </c>
    </row>
    <row r="43" ht="23" customHeight="1" spans="1:7">
      <c r="A43" s="3">
        <v>2010</v>
      </c>
      <c r="B43" s="3" t="s">
        <v>42</v>
      </c>
      <c r="C43" s="4">
        <v>41113282</v>
      </c>
      <c r="D43" s="4">
        <v>20748471</v>
      </c>
      <c r="E43" s="4">
        <v>20364811</v>
      </c>
      <c r="F43" s="4">
        <f t="shared" si="0"/>
        <v>0</v>
      </c>
      <c r="G43" s="3" t="s">
        <v>55</v>
      </c>
    </row>
    <row r="44" ht="23" customHeight="1" spans="1:7">
      <c r="A44" s="3">
        <v>2010</v>
      </c>
      <c r="B44" s="3" t="s">
        <v>43</v>
      </c>
      <c r="C44" s="4">
        <v>32972397</v>
      </c>
      <c r="D44" s="4">
        <v>16403453</v>
      </c>
      <c r="E44" s="4">
        <v>16568944</v>
      </c>
      <c r="F44" s="4">
        <f t="shared" si="0"/>
        <v>0</v>
      </c>
      <c r="G44" s="3" t="s">
        <v>55</v>
      </c>
    </row>
    <row r="45" ht="23" customHeight="1" spans="1:7">
      <c r="A45" s="3">
        <v>2010</v>
      </c>
      <c r="B45" s="3" t="s">
        <v>44</v>
      </c>
      <c r="C45" s="4">
        <v>23852133</v>
      </c>
      <c r="D45" s="4">
        <v>11278859</v>
      </c>
      <c r="E45" s="4">
        <v>12573274</v>
      </c>
      <c r="F45" s="4">
        <f t="shared" si="0"/>
        <v>0</v>
      </c>
      <c r="G45" s="3" t="s">
        <v>55</v>
      </c>
    </row>
    <row r="46" ht="23" customHeight="1" spans="1:7">
      <c r="A46" s="3">
        <v>2010</v>
      </c>
      <c r="B46" s="3" t="s">
        <v>45</v>
      </c>
      <c r="C46" s="4">
        <v>13373198</v>
      </c>
      <c r="D46" s="4">
        <v>5917502</v>
      </c>
      <c r="E46" s="4">
        <v>7455696</v>
      </c>
      <c r="F46" s="4">
        <f t="shared" si="0"/>
        <v>0</v>
      </c>
      <c r="G46" s="3" t="s">
        <v>55</v>
      </c>
    </row>
    <row r="47" ht="23" customHeight="1" spans="1:7">
      <c r="A47" s="3">
        <v>2010</v>
      </c>
      <c r="B47" s="3" t="s">
        <v>46</v>
      </c>
      <c r="C47" s="4">
        <v>5631928</v>
      </c>
      <c r="D47" s="4">
        <v>2199810</v>
      </c>
      <c r="E47" s="4">
        <v>3432118</v>
      </c>
      <c r="F47" s="4">
        <f t="shared" si="0"/>
        <v>0</v>
      </c>
      <c r="G47" s="3" t="s">
        <v>55</v>
      </c>
    </row>
    <row r="48" ht="23" customHeight="1" spans="1:7">
      <c r="A48" s="3">
        <v>2010</v>
      </c>
      <c r="B48" s="3" t="s">
        <v>47</v>
      </c>
      <c r="C48" s="4">
        <v>1578307</v>
      </c>
      <c r="D48" s="4">
        <v>530872</v>
      </c>
      <c r="E48" s="4">
        <v>1047435</v>
      </c>
      <c r="F48" s="4">
        <f t="shared" si="0"/>
        <v>0</v>
      </c>
      <c r="G48" s="3" t="s">
        <v>55</v>
      </c>
    </row>
    <row r="49" ht="23" customHeight="1" spans="1:7">
      <c r="A49" s="3">
        <v>2010</v>
      </c>
      <c r="B49" s="3" t="s">
        <v>48</v>
      </c>
      <c r="C49" s="4">
        <v>369979</v>
      </c>
      <c r="D49" s="4">
        <v>117716</v>
      </c>
      <c r="E49" s="4">
        <v>252263</v>
      </c>
      <c r="F49" s="4">
        <f t="shared" si="0"/>
        <v>0</v>
      </c>
      <c r="G49" s="3" t="s">
        <v>55</v>
      </c>
    </row>
    <row r="50" ht="23" customHeight="1" spans="1:7">
      <c r="A50" s="3">
        <v>2010</v>
      </c>
      <c r="B50" s="3" t="s">
        <v>49</v>
      </c>
      <c r="C50" s="4">
        <v>35934</v>
      </c>
      <c r="D50" s="4">
        <v>8852</v>
      </c>
      <c r="E50" s="4">
        <v>27082</v>
      </c>
      <c r="F50" s="4">
        <f t="shared" si="0"/>
        <v>0</v>
      </c>
      <c r="G50" s="3" t="s">
        <v>55</v>
      </c>
    </row>
    <row r="51" ht="23" customHeight="1" spans="1:7">
      <c r="A51" s="3">
        <v>2010</v>
      </c>
      <c r="B51" s="3" t="s">
        <v>50</v>
      </c>
      <c r="C51" s="4">
        <v>13786434</v>
      </c>
      <c r="D51" s="4">
        <v>7461199</v>
      </c>
      <c r="E51" s="4">
        <v>6325235</v>
      </c>
      <c r="F51" s="4">
        <f t="shared" si="0"/>
        <v>0</v>
      </c>
      <c r="G51" s="3" t="s">
        <v>55</v>
      </c>
    </row>
    <row r="52" ht="23" customHeight="1" spans="1:7">
      <c r="A52" s="3">
        <v>2010</v>
      </c>
      <c r="B52" s="3" t="s">
        <v>51</v>
      </c>
      <c r="C52" s="4">
        <v>15657955</v>
      </c>
      <c r="D52" s="4">
        <v>8574973</v>
      </c>
      <c r="E52" s="4">
        <v>7082982</v>
      </c>
      <c r="F52" s="4">
        <f t="shared" si="0"/>
        <v>0</v>
      </c>
      <c r="G52" s="3" t="s">
        <v>55</v>
      </c>
    </row>
    <row r="53" ht="23" customHeight="1" spans="1:7">
      <c r="A53" s="3">
        <v>2010</v>
      </c>
      <c r="B53" s="3" t="s">
        <v>52</v>
      </c>
      <c r="C53" s="4">
        <v>15617375</v>
      </c>
      <c r="D53" s="4">
        <v>8507697</v>
      </c>
      <c r="E53" s="4">
        <v>7109678</v>
      </c>
      <c r="F53" s="4">
        <f t="shared" si="0"/>
        <v>0</v>
      </c>
      <c r="G53" s="3" t="s">
        <v>55</v>
      </c>
    </row>
    <row r="54" ht="23" customHeight="1" spans="1:7">
      <c r="A54" s="3">
        <v>2010</v>
      </c>
      <c r="B54" s="3" t="s">
        <v>53</v>
      </c>
      <c r="C54" s="4">
        <v>15250805</v>
      </c>
      <c r="D54" s="4">
        <v>8272491</v>
      </c>
      <c r="E54" s="4">
        <v>6978314</v>
      </c>
      <c r="F54" s="4">
        <f t="shared" si="0"/>
        <v>0</v>
      </c>
      <c r="G54" s="3" t="s">
        <v>55</v>
      </c>
    </row>
    <row r="55" ht="23" customHeight="1" spans="1:7">
      <c r="A55" s="3">
        <v>2010</v>
      </c>
      <c r="B55" s="3" t="s">
        <v>54</v>
      </c>
      <c r="C55" s="4">
        <v>15220041</v>
      </c>
      <c r="D55" s="4">
        <v>8246206</v>
      </c>
      <c r="E55" s="4">
        <v>6973835</v>
      </c>
      <c r="F55" s="4">
        <f t="shared" si="0"/>
        <v>0</v>
      </c>
      <c r="G55" s="3" t="s">
        <v>55</v>
      </c>
    </row>
    <row r="56" ht="23" customHeight="1" spans="1:7">
      <c r="A56" s="3">
        <v>2020</v>
      </c>
      <c r="B56" s="3" t="s">
        <v>27</v>
      </c>
      <c r="C56" s="4">
        <v>1409778724</v>
      </c>
      <c r="D56" s="4">
        <v>721416394</v>
      </c>
      <c r="E56" s="4">
        <v>688362330</v>
      </c>
      <c r="F56" s="4">
        <f t="shared" si="0"/>
        <v>0</v>
      </c>
      <c r="G56" s="3" t="s">
        <v>56</v>
      </c>
    </row>
    <row r="57" ht="23" customHeight="1" spans="1:7">
      <c r="A57" s="3">
        <v>2020</v>
      </c>
      <c r="B57" s="3" t="s">
        <v>29</v>
      </c>
      <c r="C57" s="4">
        <v>77883888</v>
      </c>
      <c r="D57" s="4">
        <v>40969331</v>
      </c>
      <c r="E57" s="4">
        <v>36914557</v>
      </c>
      <c r="F57" s="4">
        <f t="shared" si="0"/>
        <v>0</v>
      </c>
      <c r="G57" s="3" t="s">
        <v>56</v>
      </c>
    </row>
    <row r="58" ht="23" customHeight="1" spans="1:7">
      <c r="A58" s="3">
        <v>2020</v>
      </c>
      <c r="B58" s="3" t="s">
        <v>30</v>
      </c>
      <c r="C58" s="4">
        <v>90244056</v>
      </c>
      <c r="D58" s="4">
        <v>48017458</v>
      </c>
      <c r="E58" s="4">
        <v>42226598</v>
      </c>
      <c r="F58" s="4">
        <f t="shared" si="0"/>
        <v>0</v>
      </c>
      <c r="G58" s="3" t="s">
        <v>56</v>
      </c>
    </row>
    <row r="59" ht="23" customHeight="1" spans="1:7">
      <c r="A59" s="3">
        <v>2020</v>
      </c>
      <c r="B59" s="3" t="s">
        <v>31</v>
      </c>
      <c r="C59" s="4">
        <v>85255994</v>
      </c>
      <c r="D59" s="4">
        <v>45606790</v>
      </c>
      <c r="E59" s="4">
        <v>39649204</v>
      </c>
      <c r="F59" s="4">
        <f t="shared" si="0"/>
        <v>0</v>
      </c>
      <c r="G59" s="3" t="s">
        <v>56</v>
      </c>
    </row>
    <row r="60" ht="23" customHeight="1" spans="1:7">
      <c r="A60" s="3">
        <v>2020</v>
      </c>
      <c r="B60" s="3" t="s">
        <v>32</v>
      </c>
      <c r="C60" s="4">
        <v>72684140</v>
      </c>
      <c r="D60" s="4">
        <v>39053343</v>
      </c>
      <c r="E60" s="4">
        <v>33630797</v>
      </c>
      <c r="F60" s="4">
        <f t="shared" si="0"/>
        <v>0</v>
      </c>
      <c r="G60" s="3" t="s">
        <v>56</v>
      </c>
    </row>
    <row r="61" ht="23" customHeight="1" spans="1:7">
      <c r="A61" s="3">
        <v>2020</v>
      </c>
      <c r="B61" s="3" t="s">
        <v>33</v>
      </c>
      <c r="C61" s="4">
        <v>74941675</v>
      </c>
      <c r="D61" s="4">
        <v>39675995</v>
      </c>
      <c r="E61" s="4">
        <v>35265680</v>
      </c>
      <c r="F61" s="4">
        <f t="shared" si="0"/>
        <v>0</v>
      </c>
      <c r="G61" s="3" t="s">
        <v>56</v>
      </c>
    </row>
    <row r="62" ht="23" customHeight="1" spans="1:7">
      <c r="A62" s="3">
        <v>2020</v>
      </c>
      <c r="B62" s="3" t="s">
        <v>34</v>
      </c>
      <c r="C62" s="4">
        <v>91847332</v>
      </c>
      <c r="D62" s="4">
        <v>48162270</v>
      </c>
      <c r="E62" s="4">
        <v>43685062</v>
      </c>
      <c r="F62" s="4">
        <f t="shared" si="0"/>
        <v>0</v>
      </c>
      <c r="G62" s="3" t="s">
        <v>56</v>
      </c>
    </row>
    <row r="63" ht="23" customHeight="1" spans="1:7">
      <c r="A63" s="3">
        <v>2020</v>
      </c>
      <c r="B63" s="3" t="s">
        <v>35</v>
      </c>
      <c r="C63" s="4">
        <v>124145190</v>
      </c>
      <c r="D63" s="4">
        <v>63871808</v>
      </c>
      <c r="E63" s="4">
        <v>60273382</v>
      </c>
      <c r="F63" s="4">
        <f t="shared" si="0"/>
        <v>0</v>
      </c>
      <c r="G63" s="3" t="s">
        <v>56</v>
      </c>
    </row>
    <row r="64" ht="23" customHeight="1" spans="1:7">
      <c r="A64" s="3">
        <v>2020</v>
      </c>
      <c r="B64" s="3" t="s">
        <v>36</v>
      </c>
      <c r="C64" s="4">
        <v>99012932</v>
      </c>
      <c r="D64" s="4">
        <v>50932037</v>
      </c>
      <c r="E64" s="4">
        <v>48080895</v>
      </c>
      <c r="F64" s="4">
        <f t="shared" si="0"/>
        <v>0</v>
      </c>
      <c r="G64" s="3" t="s">
        <v>56</v>
      </c>
    </row>
    <row r="65" ht="23" customHeight="1" spans="1:7">
      <c r="A65" s="3">
        <v>2020</v>
      </c>
      <c r="B65" s="3" t="s">
        <v>37</v>
      </c>
      <c r="C65" s="4">
        <v>92955330</v>
      </c>
      <c r="D65" s="4">
        <v>47632694</v>
      </c>
      <c r="E65" s="4">
        <v>45322636</v>
      </c>
      <c r="F65" s="4">
        <f t="shared" si="0"/>
        <v>0</v>
      </c>
      <c r="G65" s="3" t="s">
        <v>56</v>
      </c>
    </row>
    <row r="66" ht="23" customHeight="1" spans="1:7">
      <c r="A66" s="3">
        <v>2020</v>
      </c>
      <c r="B66" s="3" t="s">
        <v>38</v>
      </c>
      <c r="C66" s="4">
        <v>114224887</v>
      </c>
      <c r="D66" s="4">
        <v>58191686</v>
      </c>
      <c r="E66" s="4">
        <v>56033201</v>
      </c>
      <c r="F66" s="4">
        <f t="shared" ref="F66:F82" si="1">C66-D66-E66</f>
        <v>0</v>
      </c>
      <c r="G66" s="3" t="s">
        <v>56</v>
      </c>
    </row>
    <row r="67" ht="23" customHeight="1" spans="1:7">
      <c r="A67" s="3">
        <v>2020</v>
      </c>
      <c r="B67" s="3" t="s">
        <v>39</v>
      </c>
      <c r="C67" s="4">
        <v>121164296</v>
      </c>
      <c r="D67" s="4">
        <v>61105470</v>
      </c>
      <c r="E67" s="4">
        <v>60058826</v>
      </c>
      <c r="F67" s="4">
        <f t="shared" si="1"/>
        <v>0</v>
      </c>
      <c r="G67" s="3" t="s">
        <v>56</v>
      </c>
    </row>
    <row r="68" ht="23" customHeight="1" spans="1:7">
      <c r="A68" s="3">
        <v>2020</v>
      </c>
      <c r="B68" s="3" t="s">
        <v>40</v>
      </c>
      <c r="C68" s="4">
        <v>101400786</v>
      </c>
      <c r="D68" s="4">
        <v>50816026</v>
      </c>
      <c r="E68" s="4">
        <v>50584760</v>
      </c>
      <c r="F68" s="4">
        <f t="shared" si="1"/>
        <v>0</v>
      </c>
      <c r="G68" s="3" t="s">
        <v>56</v>
      </c>
    </row>
    <row r="69" ht="23" customHeight="1" spans="1:7">
      <c r="A69" s="3">
        <v>2020</v>
      </c>
      <c r="B69" s="3" t="s">
        <v>41</v>
      </c>
      <c r="C69" s="4">
        <v>73382938</v>
      </c>
      <c r="D69" s="4">
        <v>36871125</v>
      </c>
      <c r="E69" s="4">
        <v>36511813</v>
      </c>
      <c r="F69" s="4">
        <f t="shared" si="1"/>
        <v>0</v>
      </c>
      <c r="G69" s="3" t="s">
        <v>56</v>
      </c>
    </row>
    <row r="70" ht="23" customHeight="1" spans="1:7">
      <c r="A70" s="3">
        <v>2020</v>
      </c>
      <c r="B70" s="3" t="s">
        <v>42</v>
      </c>
      <c r="C70" s="4">
        <v>74005560</v>
      </c>
      <c r="D70" s="4">
        <v>36337923</v>
      </c>
      <c r="E70" s="4">
        <v>37667637</v>
      </c>
      <c r="F70" s="4">
        <f t="shared" si="1"/>
        <v>0</v>
      </c>
      <c r="G70" s="3" t="s">
        <v>56</v>
      </c>
    </row>
    <row r="71" ht="23" customHeight="1" spans="1:7">
      <c r="A71" s="3">
        <v>2020</v>
      </c>
      <c r="B71" s="3" t="s">
        <v>43</v>
      </c>
      <c r="C71" s="4">
        <v>49590036</v>
      </c>
      <c r="D71" s="4">
        <v>24162733</v>
      </c>
      <c r="E71" s="4">
        <v>25427303</v>
      </c>
      <c r="F71" s="4">
        <f t="shared" si="1"/>
        <v>0</v>
      </c>
      <c r="G71" s="3" t="s">
        <v>56</v>
      </c>
    </row>
    <row r="72" ht="23" customHeight="1" spans="1:7">
      <c r="A72" s="3">
        <v>2020</v>
      </c>
      <c r="B72" s="3" t="s">
        <v>44</v>
      </c>
      <c r="C72" s="4">
        <v>31238849</v>
      </c>
      <c r="D72" s="4">
        <v>14752433</v>
      </c>
      <c r="E72" s="4">
        <v>16486416</v>
      </c>
      <c r="F72" s="4">
        <f t="shared" si="1"/>
        <v>0</v>
      </c>
      <c r="G72" s="3" t="s">
        <v>56</v>
      </c>
    </row>
    <row r="73" ht="23" customHeight="1" spans="1:7">
      <c r="A73" s="3">
        <v>2020</v>
      </c>
      <c r="B73" s="3" t="s">
        <v>45</v>
      </c>
      <c r="C73" s="4">
        <v>20382878</v>
      </c>
      <c r="D73" s="4">
        <v>9157003</v>
      </c>
      <c r="E73" s="4">
        <v>11225875</v>
      </c>
      <c r="F73" s="4">
        <f t="shared" si="1"/>
        <v>0</v>
      </c>
      <c r="G73" s="3" t="s">
        <v>56</v>
      </c>
    </row>
    <row r="74" ht="23" customHeight="1" spans="1:7">
      <c r="A74" s="3">
        <v>2020</v>
      </c>
      <c r="B74" s="3" t="s">
        <v>46</v>
      </c>
      <c r="C74" s="4">
        <v>10826530</v>
      </c>
      <c r="D74" s="4">
        <v>4426091</v>
      </c>
      <c r="E74" s="4">
        <v>6400439</v>
      </c>
      <c r="F74" s="4">
        <f t="shared" si="1"/>
        <v>0</v>
      </c>
      <c r="G74" s="3" t="s">
        <v>56</v>
      </c>
    </row>
    <row r="75" ht="23" customHeight="1" spans="1:7">
      <c r="A75" s="3">
        <v>2020</v>
      </c>
      <c r="B75" s="3" t="s">
        <v>47</v>
      </c>
      <c r="C75" s="4">
        <v>3652749</v>
      </c>
      <c r="D75" s="4">
        <v>1367594</v>
      </c>
      <c r="E75" s="4">
        <v>2285155</v>
      </c>
      <c r="F75" s="4">
        <f t="shared" si="1"/>
        <v>0</v>
      </c>
      <c r="G75" s="3" t="s">
        <v>56</v>
      </c>
    </row>
    <row r="76" ht="23" customHeight="1" spans="1:7">
      <c r="A76" s="3">
        <v>2020</v>
      </c>
      <c r="B76" s="3" t="s">
        <v>48</v>
      </c>
      <c r="C76" s="4">
        <v>819812</v>
      </c>
      <c r="D76" s="4">
        <v>271455</v>
      </c>
      <c r="E76" s="4">
        <v>548357</v>
      </c>
      <c r="F76" s="4">
        <f t="shared" si="1"/>
        <v>0</v>
      </c>
      <c r="G76" s="3" t="s">
        <v>56</v>
      </c>
    </row>
    <row r="77" ht="23" customHeight="1" spans="1:7">
      <c r="A77" s="3">
        <v>2020</v>
      </c>
      <c r="B77" s="3" t="s">
        <v>49</v>
      </c>
      <c r="C77" s="4">
        <v>118866</v>
      </c>
      <c r="D77" s="4">
        <v>35129</v>
      </c>
      <c r="E77" s="4">
        <v>83737</v>
      </c>
      <c r="F77" s="4">
        <f t="shared" si="1"/>
        <v>0</v>
      </c>
      <c r="G77" s="3" t="s">
        <v>56</v>
      </c>
    </row>
    <row r="78" ht="23" customHeight="1" spans="1:7">
      <c r="A78" s="3">
        <v>2020</v>
      </c>
      <c r="B78" s="3" t="s">
        <v>50</v>
      </c>
      <c r="C78" s="4">
        <v>11988057</v>
      </c>
      <c r="D78" s="4">
        <v>6312409</v>
      </c>
      <c r="E78" s="4">
        <v>5675648</v>
      </c>
      <c r="F78" s="4">
        <f t="shared" si="1"/>
        <v>0</v>
      </c>
      <c r="G78" s="3" t="s">
        <v>56</v>
      </c>
    </row>
    <row r="79" ht="23" customHeight="1" spans="1:7">
      <c r="A79" s="3">
        <v>2020</v>
      </c>
      <c r="B79" s="3" t="s">
        <v>51</v>
      </c>
      <c r="C79" s="4">
        <v>14383791</v>
      </c>
      <c r="D79" s="4">
        <v>7559981</v>
      </c>
      <c r="E79" s="4">
        <v>6823810</v>
      </c>
      <c r="F79" s="4">
        <f t="shared" si="1"/>
        <v>0</v>
      </c>
      <c r="G79" s="3" t="s">
        <v>56</v>
      </c>
    </row>
    <row r="80" ht="23" customHeight="1" spans="1:7">
      <c r="A80" s="3">
        <v>2020</v>
      </c>
      <c r="B80" s="3" t="s">
        <v>52</v>
      </c>
      <c r="C80" s="4">
        <v>15266778</v>
      </c>
      <c r="D80" s="4">
        <v>8020423</v>
      </c>
      <c r="E80" s="4">
        <v>7246355</v>
      </c>
      <c r="F80" s="4">
        <f t="shared" si="1"/>
        <v>0</v>
      </c>
      <c r="G80" s="3" t="s">
        <v>56</v>
      </c>
    </row>
    <row r="81" ht="23" customHeight="1" spans="1:7">
      <c r="A81" s="3">
        <v>2020</v>
      </c>
      <c r="B81" s="3" t="s">
        <v>53</v>
      </c>
      <c r="C81" s="4">
        <v>18418078</v>
      </c>
      <c r="D81" s="4">
        <v>9670005</v>
      </c>
      <c r="E81" s="4">
        <v>8748073</v>
      </c>
      <c r="F81" s="4">
        <f t="shared" si="1"/>
        <v>0</v>
      </c>
      <c r="G81" s="3" t="s">
        <v>56</v>
      </c>
    </row>
    <row r="82" ht="23" customHeight="1" spans="1:7">
      <c r="A82" s="3">
        <v>2020</v>
      </c>
      <c r="B82" s="3" t="s">
        <v>54</v>
      </c>
      <c r="C82" s="4">
        <v>17827184</v>
      </c>
      <c r="D82" s="4">
        <v>9406513</v>
      </c>
      <c r="E82" s="4">
        <v>8420671</v>
      </c>
      <c r="F82" s="4">
        <f t="shared" si="1"/>
        <v>0</v>
      </c>
      <c r="G82" s="3" t="s">
        <v>56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Col="4"/>
  <cols>
    <col min="1" max="1" width="19" customWidth="1"/>
    <col min="2" max="2" width="34" customWidth="1"/>
    <col min="3" max="3" width="70" customWidth="1"/>
    <col min="4" max="5" width="47" customWidth="1"/>
  </cols>
  <sheetData>
    <row r="1" ht="29" customHeight="1" spans="1:5">
      <c r="A1" s="1" t="s">
        <v>26</v>
      </c>
      <c r="B1" s="1" t="s">
        <v>57</v>
      </c>
      <c r="C1" s="1" t="s">
        <v>58</v>
      </c>
      <c r="D1" s="1" t="s">
        <v>59</v>
      </c>
      <c r="E1" s="1" t="s">
        <v>60</v>
      </c>
    </row>
    <row r="2" ht="64" customHeight="1" spans="1:5">
      <c r="A2" s="2" t="s">
        <v>28</v>
      </c>
      <c r="B2" s="2" t="s">
        <v>61</v>
      </c>
      <c r="C2" s="2" t="s">
        <v>62</v>
      </c>
      <c r="D2" s="2" t="s">
        <v>63</v>
      </c>
      <c r="E2" s="2" t="s">
        <v>64</v>
      </c>
    </row>
    <row r="3" ht="64" customHeight="1" spans="1:5">
      <c r="A3" s="2" t="s">
        <v>55</v>
      </c>
      <c r="B3" s="2" t="s">
        <v>65</v>
      </c>
      <c r="C3" s="2" t="s">
        <v>66</v>
      </c>
      <c r="D3" s="2" t="s">
        <v>67</v>
      </c>
      <c r="E3" s="2" t="s">
        <v>68</v>
      </c>
    </row>
    <row r="4" ht="64" customHeight="1" spans="1:5">
      <c r="A4" s="2" t="s">
        <v>56</v>
      </c>
      <c r="B4" s="2" t="s">
        <v>69</v>
      </c>
      <c r="C4" s="2" t="s">
        <v>70</v>
      </c>
      <c r="D4" s="2" t="s">
        <v>71</v>
      </c>
      <c r="E4" s="2" t="s">
        <v>72</v>
      </c>
    </row>
    <row r="5" ht="64" customHeight="1" spans="1:5">
      <c r="A5" s="2" t="s">
        <v>73</v>
      </c>
      <c r="B5" s="2" t="s">
        <v>74</v>
      </c>
      <c r="C5" s="2" t="s">
        <v>75</v>
      </c>
      <c r="D5" s="2"/>
      <c r="E5" s="2"/>
    </row>
    <row r="6" ht="64" customHeight="1" spans="1:5">
      <c r="A6" s="2" t="s">
        <v>76</v>
      </c>
      <c r="B6" s="2" t="s">
        <v>77</v>
      </c>
      <c r="C6" s="2" t="s">
        <v>78</v>
      </c>
      <c r="D6" s="2"/>
      <c r="E6" s="2"/>
    </row>
    <row r="7" ht="64" customHeight="1" spans="1:5">
      <c r="A7" s="2" t="s">
        <v>79</v>
      </c>
      <c r="B7" s="2" t="s">
        <v>80</v>
      </c>
      <c r="C7" s="2" t="s">
        <v>81</v>
      </c>
      <c r="D7" s="2"/>
      <c r="E7" s="2"/>
    </row>
    <row r="8" ht="64" customHeight="1" spans="1:5">
      <c r="A8" s="2" t="s">
        <v>82</v>
      </c>
      <c r="B8" s="2" t="s">
        <v>83</v>
      </c>
      <c r="C8" s="2" t="s">
        <v>84</v>
      </c>
      <c r="D8" s="2"/>
      <c r="E8" s="2"/>
    </row>
    <row r="9" ht="64" customHeight="1" spans="1:5">
      <c r="A9" s="2" t="s">
        <v>85</v>
      </c>
      <c r="B9" s="2" t="s">
        <v>86</v>
      </c>
      <c r="C9" s="2" t="s">
        <v>87</v>
      </c>
      <c r="D9" s="2"/>
      <c r="E9" s="2"/>
    </row>
    <row r="10" ht="64" customHeight="1" spans="1:5">
      <c r="A10" s="2" t="s">
        <v>88</v>
      </c>
      <c r="B10" s="2" t="s">
        <v>89</v>
      </c>
      <c r="C10" s="2" t="s">
        <v>90</v>
      </c>
      <c r="D10" s="2"/>
      <c r="E10" s="2"/>
    </row>
    <row r="11" ht="64" customHeight="1" spans="1:5">
      <c r="A11" s="2" t="s">
        <v>91</v>
      </c>
      <c r="B11" s="2" t="s">
        <v>92</v>
      </c>
      <c r="C11" s="2" t="s">
        <v>93</v>
      </c>
      <c r="D11" s="2"/>
      <c r="E11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原始数据</vt:lpstr>
      <vt:lpstr>来源说明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琉璃</cp:lastModifiedBy>
  <dcterms:created xsi:type="dcterms:W3CDTF">2026-09-30T02:39:00Z</dcterms:created>
  <dcterms:modified xsi:type="dcterms:W3CDTF">2026-10-03T01:55:36Z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68BECE2FAC8F416F90102BE1EF886347_12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